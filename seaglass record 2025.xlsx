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/Documents/CWRU/spring 2025/"/>
    </mc:Choice>
  </mc:AlternateContent>
  <xr:revisionPtr revIDLastSave="0" documentId="13_ncr:1_{EBB8D8E1-42F3-764A-9BCB-51502F281E32}" xr6:coauthVersionLast="47" xr6:coauthVersionMax="47" xr10:uidLastSave="{00000000-0000-0000-0000-000000000000}"/>
  <bookViews>
    <workbookView xWindow="11520" yWindow="760" windowWidth="16760" windowHeight="18880" activeTab="1" xr2:uid="{0A177DFB-0E10-2343-B52C-C16FF0EACD4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7" i="2"/>
  <c r="F6" i="2"/>
  <c r="F5" i="2"/>
</calcChain>
</file>

<file path=xl/sharedStrings.xml><?xml version="1.0" encoding="utf-8"?>
<sst xmlns="http://schemas.openxmlformats.org/spreadsheetml/2006/main" count="79" uniqueCount="34">
  <si>
    <t>Date</t>
  </si>
  <si>
    <t xml:space="preserve">Trip </t>
  </si>
  <si>
    <t>Location</t>
  </si>
  <si>
    <t>Edgewater</t>
  </si>
  <si>
    <t>Duration (h)</t>
  </si>
  <si>
    <t>Clear</t>
  </si>
  <si>
    <t>Dark Aqua</t>
  </si>
  <si>
    <t>Light Aqua</t>
  </si>
  <si>
    <t>Cornflower</t>
  </si>
  <si>
    <t>Cobalt</t>
  </si>
  <si>
    <t>Lime Green</t>
  </si>
  <si>
    <t>S. Green</t>
  </si>
  <si>
    <t>Turquoise</t>
  </si>
  <si>
    <t>Dark Turqoise</t>
  </si>
  <si>
    <t>Olive</t>
  </si>
  <si>
    <t>Light Olive</t>
  </si>
  <si>
    <t>Brown</t>
  </si>
  <si>
    <t>Purple</t>
  </si>
  <si>
    <t>Red</t>
  </si>
  <si>
    <t>Opaque</t>
  </si>
  <si>
    <t>Two-Tone</t>
  </si>
  <si>
    <t>Uranium</t>
  </si>
  <si>
    <t>Porcelain</t>
  </si>
  <si>
    <t>Yellow</t>
  </si>
  <si>
    <t>Dark Yellow</t>
  </si>
  <si>
    <t>Dirty</t>
  </si>
  <si>
    <t>Mother of Pearl</t>
  </si>
  <si>
    <t>Blue total</t>
  </si>
  <si>
    <t>Green total</t>
  </si>
  <si>
    <t>Turqoise total</t>
  </si>
  <si>
    <t>Aqua total</t>
  </si>
  <si>
    <t>Weird total</t>
  </si>
  <si>
    <t>TOTAL</t>
  </si>
  <si>
    <t>Mentor Headlands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</si>
</sst>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75100"/>
      <color rgb="FF00AB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Glass per Color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94538650986714"/>
          <c:y val="0.10388998894865173"/>
          <c:w val="0.56328950533721256"/>
          <c:h val="0.7869841659262872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0AA-B44D-B48C-1F4095B78986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0AA-B44D-B48C-1F4095B78986}"/>
              </c:ext>
            </c:extLst>
          </c:dPt>
          <c:dPt>
            <c:idx val="2"/>
            <c:bubble3D val="0"/>
            <c:spPr>
              <a:solidFill>
                <a:srgbClr val="00ABB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0AA-B44D-B48C-1F4095B78986}"/>
              </c:ext>
            </c:extLst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0AA-B44D-B48C-1F4095B7898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0AA-B44D-B48C-1F4095B78986}"/>
              </c:ext>
            </c:extLst>
          </c:dPt>
          <c:dPt>
            <c:idx val="6"/>
            <c:bubble3D val="0"/>
            <c:spPr>
              <a:solidFill>
                <a:srgbClr val="8751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E0AA-B44D-B48C-1F4095B789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Sheet2!$I$14:$I$20</c:f>
              <c:strCache>
                <c:ptCount val="7"/>
                <c:pt idx="0">
                  <c:v>Blue total</c:v>
                </c:pt>
                <c:pt idx="1">
                  <c:v>Green total</c:v>
                </c:pt>
                <c:pt idx="2">
                  <c:v>Turqoise total</c:v>
                </c:pt>
                <c:pt idx="3">
                  <c:v>Aqua total</c:v>
                </c:pt>
                <c:pt idx="4">
                  <c:v>Weird total</c:v>
                </c:pt>
                <c:pt idx="5">
                  <c:v>Clear</c:v>
                </c:pt>
                <c:pt idx="6">
                  <c:v>Brown</c:v>
                </c:pt>
              </c:strCache>
            </c:strRef>
          </c:cat>
          <c:val>
            <c:numRef>
              <c:f>Sheet2!$J$14:$J$20</c:f>
              <c:numCache>
                <c:formatCode>General</c:formatCode>
                <c:ptCount val="7"/>
                <c:pt idx="0">
                  <c:v>247</c:v>
                </c:pt>
                <c:pt idx="1">
                  <c:v>687</c:v>
                </c:pt>
                <c:pt idx="2">
                  <c:v>59</c:v>
                </c:pt>
                <c:pt idx="3">
                  <c:v>154</c:v>
                </c:pt>
                <c:pt idx="4">
                  <c:v>59</c:v>
                </c:pt>
                <c:pt idx="5">
                  <c:v>343</c:v>
                </c:pt>
                <c:pt idx="6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A-B44D-B48C-1F4095B7898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153763</xdr:colOff>
      <xdr:row>22</xdr:row>
      <xdr:rowOff>160650</xdr:rowOff>
    </xdr:from>
    <xdr:to>
      <xdr:col>16</xdr:col>
      <xdr:colOff>584603</xdr:colOff>
      <xdr:row>50</xdr:row>
      <xdr:rowOff>120952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3E3BF-9265-CA14-A1C3-F98DA97AD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130F-B90F-BE46-8391-A6C4C3FC24C3}">
  <dimension ref="A1:AF5"/>
  <sheetViews>
    <sheetView zoomScale="58" zoomScaleNormal="161" workbookViewId="0">
      <selection activeCell="F23" sqref="F23"/>
    </sheetView>
  </sheetViews>
  <sheetFormatPr baseColWidth="10" defaultRowHeight="16" x14ac:dyDescent="0.2"/>
  <cols>
    <col min="3" max="3" width="16.5" customWidth="1"/>
  </cols>
  <sheetData>
    <row r="1" spans="1:32" x14ac:dyDescent="0.2">
      <c r="A1" t="s">
        <v>1</v>
      </c>
      <c r="B1" t="s">
        <v>0</v>
      </c>
      <c r="C1" t="s">
        <v>2</v>
      </c>
      <c r="D1" t="s">
        <v>4</v>
      </c>
      <c r="E1" t="s">
        <v>5</v>
      </c>
      <c r="F1" t="s">
        <v>7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23</v>
      </c>
      <c r="W1" t="s">
        <v>24</v>
      </c>
      <c r="X1" t="s">
        <v>22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2">
      <c r="A2">
        <v>1</v>
      </c>
      <c r="B2" s="1">
        <v>45723</v>
      </c>
      <c r="C2" t="s">
        <v>33</v>
      </c>
      <c r="D2">
        <v>0.75</v>
      </c>
      <c r="E2">
        <v>6</v>
      </c>
      <c r="F2">
        <v>1</v>
      </c>
      <c r="G2">
        <v>0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>
        <v>2</v>
      </c>
      <c r="O2">
        <v>0</v>
      </c>
      <c r="P2">
        <v>11</v>
      </c>
      <c r="Q2">
        <v>0</v>
      </c>
      <c r="R2">
        <v>0</v>
      </c>
      <c r="S2">
        <v>0</v>
      </c>
      <c r="T2">
        <v>0</v>
      </c>
      <c r="U2">
        <v>4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5</v>
      </c>
      <c r="AC2">
        <v>0</v>
      </c>
      <c r="AD2">
        <v>1</v>
      </c>
      <c r="AE2">
        <v>6</v>
      </c>
      <c r="AF2">
        <v>29</v>
      </c>
    </row>
    <row r="3" spans="1:32" x14ac:dyDescent="0.2">
      <c r="A3">
        <v>2</v>
      </c>
      <c r="B3" s="1">
        <v>45759</v>
      </c>
      <c r="C3" t="s">
        <v>3</v>
      </c>
      <c r="D3">
        <v>2</v>
      </c>
      <c r="E3">
        <v>116</v>
      </c>
      <c r="F3">
        <v>9</v>
      </c>
      <c r="G3">
        <v>24</v>
      </c>
      <c r="H3">
        <v>19</v>
      </c>
      <c r="I3">
        <v>64</v>
      </c>
      <c r="J3">
        <v>18</v>
      </c>
      <c r="K3">
        <v>127</v>
      </c>
      <c r="L3">
        <v>10</v>
      </c>
      <c r="M3">
        <v>8</v>
      </c>
      <c r="N3">
        <v>15</v>
      </c>
      <c r="O3">
        <v>5</v>
      </c>
      <c r="P3">
        <v>61</v>
      </c>
      <c r="Q3">
        <v>1</v>
      </c>
      <c r="R3">
        <v>0</v>
      </c>
      <c r="S3">
        <v>0</v>
      </c>
      <c r="T3">
        <v>2</v>
      </c>
      <c r="U3">
        <v>2</v>
      </c>
      <c r="V3">
        <v>0</v>
      </c>
      <c r="W3">
        <v>0</v>
      </c>
      <c r="X3">
        <v>4</v>
      </c>
      <c r="Y3">
        <v>0</v>
      </c>
      <c r="Z3">
        <v>0</v>
      </c>
      <c r="AA3">
        <v>83</v>
      </c>
      <c r="AB3">
        <v>183</v>
      </c>
      <c r="AC3">
        <v>18</v>
      </c>
      <c r="AD3">
        <v>42</v>
      </c>
      <c r="AE3">
        <v>11</v>
      </c>
      <c r="AF3">
        <v>494</v>
      </c>
    </row>
    <row r="4" spans="1:32" x14ac:dyDescent="0.2">
      <c r="A4">
        <v>3</v>
      </c>
      <c r="B4" s="1">
        <v>45767</v>
      </c>
      <c r="C4" t="s">
        <v>3</v>
      </c>
      <c r="D4">
        <v>0.33</v>
      </c>
      <c r="E4">
        <v>22</v>
      </c>
      <c r="F4">
        <v>3</v>
      </c>
      <c r="G4">
        <v>0</v>
      </c>
      <c r="H4">
        <v>0</v>
      </c>
      <c r="I4">
        <v>8</v>
      </c>
      <c r="J4">
        <v>4</v>
      </c>
      <c r="K4">
        <v>14</v>
      </c>
      <c r="L4">
        <v>0</v>
      </c>
      <c r="M4">
        <v>0</v>
      </c>
      <c r="N4">
        <v>3</v>
      </c>
      <c r="O4">
        <v>0</v>
      </c>
      <c r="P4">
        <v>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8</v>
      </c>
      <c r="AB4">
        <v>21</v>
      </c>
      <c r="AC4">
        <v>0</v>
      </c>
      <c r="AD4">
        <v>3</v>
      </c>
      <c r="AE4">
        <v>0</v>
      </c>
      <c r="AF4">
        <v>59</v>
      </c>
    </row>
    <row r="5" spans="1:32" x14ac:dyDescent="0.2">
      <c r="A5">
        <v>4</v>
      </c>
      <c r="B5" s="1">
        <v>45771</v>
      </c>
      <c r="C5" t="s">
        <v>3</v>
      </c>
      <c r="D5">
        <v>3.5</v>
      </c>
      <c r="E5">
        <v>199</v>
      </c>
      <c r="F5">
        <v>68</v>
      </c>
      <c r="G5">
        <v>40</v>
      </c>
      <c r="H5">
        <v>33</v>
      </c>
      <c r="I5">
        <v>123</v>
      </c>
      <c r="J5">
        <v>46</v>
      </c>
      <c r="K5">
        <v>344</v>
      </c>
      <c r="L5">
        <v>16</v>
      </c>
      <c r="M5">
        <v>25</v>
      </c>
      <c r="N5">
        <v>23</v>
      </c>
      <c r="O5">
        <v>11</v>
      </c>
      <c r="P5">
        <v>202</v>
      </c>
      <c r="Q5">
        <v>0</v>
      </c>
      <c r="R5">
        <v>2</v>
      </c>
      <c r="S5">
        <v>3</v>
      </c>
      <c r="T5">
        <v>5</v>
      </c>
      <c r="U5">
        <v>7</v>
      </c>
      <c r="V5">
        <v>6</v>
      </c>
      <c r="W5">
        <v>5</v>
      </c>
      <c r="X5">
        <v>6</v>
      </c>
      <c r="Y5">
        <v>7</v>
      </c>
      <c r="Z5">
        <v>1</v>
      </c>
      <c r="AA5">
        <v>156</v>
      </c>
      <c r="AB5">
        <v>478</v>
      </c>
      <c r="AC5">
        <v>41</v>
      </c>
      <c r="AD5">
        <v>108</v>
      </c>
      <c r="AE5">
        <v>42</v>
      </c>
      <c r="AF5">
        <v>1226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8C13-E220-F645-98A4-3D58DDC71CED}">
  <dimension ref="A1:J32"/>
  <sheetViews>
    <sheetView tabSelected="1" topLeftCell="I21" zoomScale="140" zoomScaleNormal="63" workbookViewId="0">
      <selection activeCell="P23" sqref="P23"/>
    </sheetView>
  </sheetViews>
  <sheetFormatPr baseColWidth="10" defaultRowHeight="16" x14ac:dyDescent="0.2"/>
  <sheetData>
    <row r="1" spans="1:10" x14ac:dyDescent="0.2">
      <c r="A1" t="s">
        <v>1</v>
      </c>
      <c r="B1">
        <v>1</v>
      </c>
      <c r="C1">
        <v>2</v>
      </c>
      <c r="D1">
        <v>3</v>
      </c>
      <c r="E1">
        <v>4</v>
      </c>
    </row>
    <row r="2" spans="1:10" x14ac:dyDescent="0.2">
      <c r="A2" t="s">
        <v>0</v>
      </c>
      <c r="B2" s="1">
        <v>45723</v>
      </c>
      <c r="C2" s="1">
        <v>45759</v>
      </c>
      <c r="D2" s="1">
        <v>45767</v>
      </c>
      <c r="E2" s="1">
        <v>45771</v>
      </c>
    </row>
    <row r="3" spans="1:10" x14ac:dyDescent="0.2">
      <c r="A3" t="s">
        <v>2</v>
      </c>
      <c r="B3" t="s">
        <v>33</v>
      </c>
      <c r="C3" t="s">
        <v>3</v>
      </c>
      <c r="D3" t="s">
        <v>3</v>
      </c>
      <c r="E3" t="s">
        <v>3</v>
      </c>
    </row>
    <row r="4" spans="1:10" x14ac:dyDescent="0.2">
      <c r="A4" t="s">
        <v>4</v>
      </c>
      <c r="B4">
        <v>0.75</v>
      </c>
      <c r="C4">
        <v>2</v>
      </c>
      <c r="D4">
        <v>0.33</v>
      </c>
      <c r="E4">
        <v>3.5</v>
      </c>
    </row>
    <row r="5" spans="1:10" x14ac:dyDescent="0.2">
      <c r="A5" t="s">
        <v>5</v>
      </c>
      <c r="B5">
        <v>6</v>
      </c>
      <c r="C5">
        <v>116</v>
      </c>
      <c r="D5">
        <v>22</v>
      </c>
      <c r="E5">
        <v>199</v>
      </c>
      <c r="F5">
        <f>SUM(B5:E5)</f>
        <v>343</v>
      </c>
    </row>
    <row r="6" spans="1:10" x14ac:dyDescent="0.2">
      <c r="A6" t="s">
        <v>7</v>
      </c>
      <c r="B6">
        <v>1</v>
      </c>
      <c r="C6">
        <v>9</v>
      </c>
      <c r="D6">
        <v>3</v>
      </c>
      <c r="E6">
        <v>68</v>
      </c>
      <c r="F6">
        <f>SUM(B6:E6)</f>
        <v>81</v>
      </c>
    </row>
    <row r="7" spans="1:10" x14ac:dyDescent="0.2">
      <c r="A7" t="s">
        <v>6</v>
      </c>
      <c r="B7">
        <v>0</v>
      </c>
      <c r="C7">
        <v>24</v>
      </c>
      <c r="D7">
        <v>0</v>
      </c>
      <c r="E7">
        <v>40</v>
      </c>
      <c r="F7">
        <f>SUM(B7:E7)</f>
        <v>64</v>
      </c>
    </row>
    <row r="8" spans="1:10" x14ac:dyDescent="0.2">
      <c r="A8" t="s">
        <v>8</v>
      </c>
      <c r="B8">
        <v>0</v>
      </c>
      <c r="C8">
        <v>19</v>
      </c>
      <c r="D8">
        <v>0</v>
      </c>
      <c r="E8">
        <v>33</v>
      </c>
      <c r="F8">
        <f t="shared" ref="F8:F32" si="0">SUM(B8:E8)</f>
        <v>52</v>
      </c>
    </row>
    <row r="9" spans="1:10" x14ac:dyDescent="0.2">
      <c r="A9" t="s">
        <v>9</v>
      </c>
      <c r="B9">
        <v>0</v>
      </c>
      <c r="C9">
        <v>64</v>
      </c>
      <c r="D9">
        <v>8</v>
      </c>
      <c r="E9">
        <v>123</v>
      </c>
      <c r="F9">
        <f t="shared" si="0"/>
        <v>195</v>
      </c>
    </row>
    <row r="10" spans="1:10" x14ac:dyDescent="0.2">
      <c r="A10" t="s">
        <v>10</v>
      </c>
      <c r="B10">
        <v>0</v>
      </c>
      <c r="C10">
        <v>18</v>
      </c>
      <c r="D10">
        <v>4</v>
      </c>
      <c r="E10">
        <v>46</v>
      </c>
      <c r="F10">
        <f t="shared" si="0"/>
        <v>68</v>
      </c>
    </row>
    <row r="11" spans="1:10" x14ac:dyDescent="0.2">
      <c r="A11" t="s">
        <v>11</v>
      </c>
      <c r="B11">
        <v>3</v>
      </c>
      <c r="C11">
        <v>127</v>
      </c>
      <c r="D11">
        <v>14</v>
      </c>
      <c r="E11">
        <v>344</v>
      </c>
      <c r="F11">
        <f t="shared" si="0"/>
        <v>488</v>
      </c>
    </row>
    <row r="12" spans="1:10" x14ac:dyDescent="0.2">
      <c r="A12" t="s">
        <v>12</v>
      </c>
      <c r="B12">
        <v>0</v>
      </c>
      <c r="C12">
        <v>10</v>
      </c>
      <c r="D12">
        <v>0</v>
      </c>
      <c r="E12">
        <v>16</v>
      </c>
      <c r="F12">
        <f t="shared" si="0"/>
        <v>26</v>
      </c>
    </row>
    <row r="13" spans="1:10" x14ac:dyDescent="0.2">
      <c r="A13" t="s">
        <v>13</v>
      </c>
      <c r="B13">
        <v>0</v>
      </c>
      <c r="C13">
        <v>8</v>
      </c>
      <c r="D13">
        <v>0</v>
      </c>
      <c r="E13">
        <v>25</v>
      </c>
      <c r="F13">
        <f t="shared" si="0"/>
        <v>33</v>
      </c>
    </row>
    <row r="14" spans="1:10" x14ac:dyDescent="0.2">
      <c r="A14" t="s">
        <v>14</v>
      </c>
      <c r="B14">
        <v>2</v>
      </c>
      <c r="C14">
        <v>15</v>
      </c>
      <c r="D14">
        <v>3</v>
      </c>
      <c r="E14">
        <v>23</v>
      </c>
      <c r="F14">
        <f t="shared" si="0"/>
        <v>43</v>
      </c>
      <c r="I14" t="s">
        <v>27</v>
      </c>
      <c r="J14">
        <v>247</v>
      </c>
    </row>
    <row r="15" spans="1:10" x14ac:dyDescent="0.2">
      <c r="A15" t="s">
        <v>15</v>
      </c>
      <c r="B15">
        <v>0</v>
      </c>
      <c r="C15">
        <v>5</v>
      </c>
      <c r="D15">
        <v>0</v>
      </c>
      <c r="E15">
        <v>11</v>
      </c>
      <c r="F15">
        <f t="shared" si="0"/>
        <v>16</v>
      </c>
      <c r="I15" t="s">
        <v>28</v>
      </c>
      <c r="J15">
        <v>687</v>
      </c>
    </row>
    <row r="16" spans="1:10" x14ac:dyDescent="0.2">
      <c r="A16" t="s">
        <v>16</v>
      </c>
      <c r="B16">
        <v>11</v>
      </c>
      <c r="C16">
        <v>61</v>
      </c>
      <c r="D16">
        <v>5</v>
      </c>
      <c r="E16">
        <v>202</v>
      </c>
      <c r="F16">
        <f t="shared" si="0"/>
        <v>279</v>
      </c>
      <c r="I16" t="s">
        <v>29</v>
      </c>
      <c r="J16">
        <v>59</v>
      </c>
    </row>
    <row r="17" spans="1:10" x14ac:dyDescent="0.2">
      <c r="A17" t="s">
        <v>17</v>
      </c>
      <c r="B17">
        <v>0</v>
      </c>
      <c r="C17">
        <v>1</v>
      </c>
      <c r="D17">
        <v>0</v>
      </c>
      <c r="E17">
        <v>0</v>
      </c>
      <c r="F17">
        <f t="shared" si="0"/>
        <v>1</v>
      </c>
      <c r="I17" t="s">
        <v>30</v>
      </c>
      <c r="J17">
        <v>154</v>
      </c>
    </row>
    <row r="18" spans="1:10" x14ac:dyDescent="0.2">
      <c r="A18" t="s">
        <v>18</v>
      </c>
      <c r="B18">
        <v>0</v>
      </c>
      <c r="C18">
        <v>0</v>
      </c>
      <c r="D18">
        <v>0</v>
      </c>
      <c r="E18">
        <v>2</v>
      </c>
      <c r="F18">
        <f t="shared" si="0"/>
        <v>2</v>
      </c>
      <c r="I18" t="s">
        <v>31</v>
      </c>
      <c r="J18">
        <v>59</v>
      </c>
    </row>
    <row r="19" spans="1:10" x14ac:dyDescent="0.2">
      <c r="A19" t="s">
        <v>19</v>
      </c>
      <c r="B19">
        <v>0</v>
      </c>
      <c r="C19">
        <v>0</v>
      </c>
      <c r="D19">
        <v>0</v>
      </c>
      <c r="E19">
        <v>3</v>
      </c>
      <c r="F19">
        <f t="shared" si="0"/>
        <v>3</v>
      </c>
      <c r="I19" t="s">
        <v>5</v>
      </c>
      <c r="J19">
        <v>343</v>
      </c>
    </row>
    <row r="20" spans="1:10" x14ac:dyDescent="0.2">
      <c r="A20" t="s">
        <v>20</v>
      </c>
      <c r="B20">
        <v>0</v>
      </c>
      <c r="C20">
        <v>2</v>
      </c>
      <c r="D20">
        <v>0</v>
      </c>
      <c r="E20">
        <v>5</v>
      </c>
      <c r="F20">
        <f t="shared" si="0"/>
        <v>7</v>
      </c>
      <c r="I20" t="s">
        <v>16</v>
      </c>
      <c r="J20">
        <v>279</v>
      </c>
    </row>
    <row r="21" spans="1:10" x14ac:dyDescent="0.2">
      <c r="A21" t="s">
        <v>21</v>
      </c>
      <c r="B21">
        <v>4</v>
      </c>
      <c r="C21">
        <v>2</v>
      </c>
      <c r="D21">
        <v>0</v>
      </c>
      <c r="E21">
        <v>7</v>
      </c>
      <c r="F21">
        <f t="shared" si="0"/>
        <v>13</v>
      </c>
    </row>
    <row r="22" spans="1:10" x14ac:dyDescent="0.2">
      <c r="A22" t="s">
        <v>23</v>
      </c>
      <c r="B22">
        <v>0</v>
      </c>
      <c r="C22">
        <v>0</v>
      </c>
      <c r="D22">
        <v>0</v>
      </c>
      <c r="E22">
        <v>6</v>
      </c>
      <c r="F22">
        <f t="shared" si="0"/>
        <v>6</v>
      </c>
    </row>
    <row r="23" spans="1:10" x14ac:dyDescent="0.2">
      <c r="A23" t="s">
        <v>24</v>
      </c>
      <c r="B23">
        <v>0</v>
      </c>
      <c r="C23">
        <v>0</v>
      </c>
      <c r="D23">
        <v>0</v>
      </c>
      <c r="E23">
        <v>5</v>
      </c>
      <c r="F23">
        <f t="shared" si="0"/>
        <v>5</v>
      </c>
    </row>
    <row r="24" spans="1:10" x14ac:dyDescent="0.2">
      <c r="A24" t="s">
        <v>22</v>
      </c>
      <c r="B24">
        <v>1</v>
      </c>
      <c r="C24">
        <v>4</v>
      </c>
      <c r="D24">
        <v>0</v>
      </c>
      <c r="E24">
        <v>6</v>
      </c>
      <c r="F24">
        <f t="shared" si="0"/>
        <v>11</v>
      </c>
    </row>
    <row r="25" spans="1:10" x14ac:dyDescent="0.2">
      <c r="A25" t="s">
        <v>25</v>
      </c>
      <c r="B25">
        <v>0</v>
      </c>
      <c r="C25">
        <v>0</v>
      </c>
      <c r="D25">
        <v>0</v>
      </c>
      <c r="E25">
        <v>7</v>
      </c>
      <c r="F25">
        <f t="shared" si="0"/>
        <v>7</v>
      </c>
    </row>
    <row r="26" spans="1:10" x14ac:dyDescent="0.2">
      <c r="A26" t="s">
        <v>26</v>
      </c>
      <c r="B26">
        <v>1</v>
      </c>
      <c r="C26">
        <v>0</v>
      </c>
      <c r="D26">
        <v>0</v>
      </c>
      <c r="E26">
        <v>1</v>
      </c>
      <c r="F26">
        <f t="shared" si="0"/>
        <v>2</v>
      </c>
    </row>
    <row r="27" spans="1:10" x14ac:dyDescent="0.2">
      <c r="A27" t="s">
        <v>27</v>
      </c>
      <c r="B27">
        <v>0</v>
      </c>
      <c r="C27">
        <v>83</v>
      </c>
      <c r="D27">
        <v>8</v>
      </c>
      <c r="E27">
        <v>156</v>
      </c>
      <c r="F27">
        <f t="shared" si="0"/>
        <v>247</v>
      </c>
    </row>
    <row r="28" spans="1:10" x14ac:dyDescent="0.2">
      <c r="A28" t="s">
        <v>28</v>
      </c>
      <c r="B28">
        <v>5</v>
      </c>
      <c r="C28">
        <v>183</v>
      </c>
      <c r="D28">
        <v>21</v>
      </c>
      <c r="E28">
        <v>478</v>
      </c>
      <c r="F28">
        <f t="shared" si="0"/>
        <v>687</v>
      </c>
    </row>
    <row r="29" spans="1:10" x14ac:dyDescent="0.2">
      <c r="A29" t="s">
        <v>29</v>
      </c>
      <c r="B29">
        <v>0</v>
      </c>
      <c r="C29">
        <v>18</v>
      </c>
      <c r="D29">
        <v>0</v>
      </c>
      <c r="E29">
        <v>41</v>
      </c>
      <c r="F29">
        <f t="shared" si="0"/>
        <v>59</v>
      </c>
    </row>
    <row r="30" spans="1:10" x14ac:dyDescent="0.2">
      <c r="A30" t="s">
        <v>30</v>
      </c>
      <c r="B30">
        <v>1</v>
      </c>
      <c r="C30">
        <v>42</v>
      </c>
      <c r="D30">
        <v>3</v>
      </c>
      <c r="E30">
        <v>108</v>
      </c>
      <c r="F30">
        <f t="shared" si="0"/>
        <v>154</v>
      </c>
    </row>
    <row r="31" spans="1:10" x14ac:dyDescent="0.2">
      <c r="A31" t="s">
        <v>31</v>
      </c>
      <c r="B31">
        <v>6</v>
      </c>
      <c r="C31">
        <v>11</v>
      </c>
      <c r="D31">
        <v>0</v>
      </c>
      <c r="E31">
        <v>42</v>
      </c>
      <c r="F31">
        <f t="shared" si="0"/>
        <v>59</v>
      </c>
    </row>
    <row r="32" spans="1:10" x14ac:dyDescent="0.2">
      <c r="A32" t="s">
        <v>32</v>
      </c>
      <c r="B32">
        <v>29</v>
      </c>
      <c r="C32">
        <v>494</v>
      </c>
      <c r="D32">
        <v>59</v>
      </c>
      <c r="E32">
        <v>1226</v>
      </c>
      <c r="F32">
        <f t="shared" si="0"/>
        <v>1808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Carter</dc:creator>
  <cp:lastModifiedBy>Kate Carter</cp:lastModifiedBy>
  <dcterms:created xsi:type="dcterms:W3CDTF">2025-04-25T15:59:47Z</dcterms:created>
  <dcterms:modified xsi:type="dcterms:W3CDTF">2025-04-30T12:11:08Z</dcterms:modified>
</cp:coreProperties>
</file>